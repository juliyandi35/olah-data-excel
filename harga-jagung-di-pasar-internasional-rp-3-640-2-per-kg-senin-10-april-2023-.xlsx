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Buat dan Olah Data, DL jam 8 pagi ini\"/>
    </mc:Choice>
  </mc:AlternateContent>
  <xr:revisionPtr revIDLastSave="0" documentId="13_ncr:1_{8D48493D-6DA7-48B6-A3B8-04ED24B6F6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Charts" sheetId="1" r:id="rId1"/>
  </sheets>
  <calcPr calcId="191029"/>
</workbook>
</file>

<file path=xl/calcChain.xml><?xml version="1.0" encoding="utf-8"?>
<calcChain xmlns="http://schemas.openxmlformats.org/spreadsheetml/2006/main">
  <c r="E13" i="1" l="1"/>
  <c r="E12" i="1"/>
  <c r="E11" i="1"/>
  <c r="J10" i="1"/>
  <c r="I10" i="1"/>
  <c r="J4" i="1"/>
  <c r="J5" i="1"/>
  <c r="J6" i="1"/>
  <c r="J7" i="1"/>
  <c r="J8" i="1"/>
  <c r="J9" i="1"/>
  <c r="J3" i="1"/>
  <c r="I3" i="1" a="1"/>
  <c r="I3" i="1" s="1"/>
  <c r="H9" i="1"/>
  <c r="H8" i="1"/>
  <c r="G8" i="1"/>
  <c r="G9" i="1" s="1"/>
  <c r="H5" i="1"/>
  <c r="H6" i="1"/>
  <c r="H7" i="1"/>
  <c r="G5" i="1"/>
  <c r="G6" i="1"/>
  <c r="G7" i="1" s="1"/>
  <c r="H4" i="1"/>
  <c r="G4" i="1"/>
  <c r="H3" i="1"/>
  <c r="G3" i="1"/>
  <c r="E7" i="1"/>
  <c r="E6" i="1"/>
  <c r="E5" i="1"/>
  <c r="E4" i="1"/>
  <c r="E3" i="1"/>
  <c r="E2" i="1"/>
  <c r="I9" i="1" l="1"/>
  <c r="I8" i="1"/>
  <c r="I7" i="1"/>
  <c r="I6" i="1"/>
  <c r="I5" i="1"/>
  <c r="I4" i="1"/>
</calcChain>
</file>

<file path=xl/sharedStrings.xml><?xml version="1.0" encoding="utf-8"?>
<sst xmlns="http://schemas.openxmlformats.org/spreadsheetml/2006/main" count="98" uniqueCount="98">
  <si>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</si>
  <si>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</si>
  <si>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</si>
  <si>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</si>
  <si>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</si>
  <si>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</si>
  <si>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</si>
  <si>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</si>
  <si>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</si>
  <si>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</si>
  <si>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</si>
  <si>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</si>
  <si>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</si>
  <si>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</si>
  <si>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</si>
  <si>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</si>
  <si>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</si>
  <si>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</si>
  <si>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</si>
  <si>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</si>
  <si>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</si>
  <si>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</si>
  <si>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</si>
  <si>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</si>
  <si>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</si>
  <si>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</si>
  <si>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</si>
  <si>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</si>
  <si>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</si>
  <si>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</si>
  <si>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</si>
  <si>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</si>
  <si>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</si>
  <si>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</si>
  <si>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</si>
  <si>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</si>
  <si>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</si>
  <si>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</si>
  <si>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</si>
  <si>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</si>
  <si>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</si>
  <si>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</si>
  <si>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</si>
  <si>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</si>
  <si>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</si>
  <si>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</si>
  <si>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</si>
  <si>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</si>
  <si>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</si>
  <si>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</si>
  <si>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</si>
  <si>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</si>
  <si>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</si>
  <si>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</si>
  <si>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</si>
  <si>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</si>
  <si>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</si>
  <si>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</si>
  <si>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</si>
  <si>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</si>
  <si>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</si>
  <si>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</si>
  <si>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</si>
  <si>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</si>
  <si>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</si>
  <si>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</si>
  <si>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</si>
  <si>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</si>
  <si>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</si>
  <si>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</si>
  <si>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</si>
  <si>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</si>
  <si>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</si>
  <si>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</si>
  <si>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</si>
  <si>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</si>
  <si>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</si>
  <si>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</si>
  <si>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</si>
  <si>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</si>
  <si>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</si>
  <si>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Tanggal</t>
  </si>
  <si>
    <t>Harga Jagung (USD Cent/Gantang)</t>
  </si>
  <si>
    <t>N</t>
  </si>
  <si>
    <t>Max</t>
  </si>
  <si>
    <t>Min</t>
  </si>
  <si>
    <t xml:space="preserve">Range </t>
  </si>
  <si>
    <t>Kelas</t>
  </si>
  <si>
    <t>Panjang</t>
  </si>
  <si>
    <t>Interval</t>
  </si>
  <si>
    <t>Dari</t>
  </si>
  <si>
    <t>Sampai</t>
  </si>
  <si>
    <t>Frekuensi</t>
  </si>
  <si>
    <t>Persentase</t>
  </si>
  <si>
    <t>Total</t>
  </si>
  <si>
    <t>Mean</t>
  </si>
  <si>
    <t>Modus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</si>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</sst>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Harga Jagung (USD Cent/Gantang)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strRef>
              <c:f>amCharts!$A$2:$A$82</c:f>
              <c:strCache>
                <c:ptCount val="81"/>
                <c:pt idx="0">
                  <c:v>2022-12-12</c:v>
                </c:pt>
                <c:pt idx="1">
                  <c:v>2022-12-13</c:v>
                </c:pt>
                <c:pt idx="2">
                  <c:v>2022-12-14</c:v>
                </c:pt>
                <c:pt idx="3">
                  <c:v>2022-12-15</c:v>
                </c:pt>
                <c:pt idx="4">
                  <c:v>2022-12-16</c:v>
                </c:pt>
                <c:pt idx="5">
                  <c:v>2022-12-19</c:v>
                </c:pt>
                <c:pt idx="6">
                  <c:v>2022-12-20</c:v>
                </c:pt>
                <c:pt idx="7">
                  <c:v>2022-12-21</c:v>
                </c:pt>
                <c:pt idx="8">
                  <c:v>2022-12-22</c:v>
                </c:pt>
                <c:pt idx="9">
                  <c:v>2022-12-23</c:v>
                </c:pt>
                <c:pt idx="10">
                  <c:v>2022-12-27</c:v>
                </c:pt>
                <c:pt idx="11">
                  <c:v>2022-12-28</c:v>
                </c:pt>
                <c:pt idx="12">
                  <c:v>2022-12-29</c:v>
                </c:pt>
                <c:pt idx="13">
                  <c:v>2022-12-30</c:v>
                </c:pt>
                <c:pt idx="14">
                  <c:v>2023-01-03</c:v>
                </c:pt>
                <c:pt idx="15">
                  <c:v>2023-01-04</c:v>
                </c:pt>
                <c:pt idx="16">
                  <c:v>2023-01-05</c:v>
                </c:pt>
                <c:pt idx="17">
                  <c:v>2023-01-06</c:v>
                </c:pt>
                <c:pt idx="18">
                  <c:v>2023-01-09</c:v>
                </c:pt>
                <c:pt idx="19">
                  <c:v>2023-01-10</c:v>
                </c:pt>
                <c:pt idx="20">
                  <c:v>2023-01-11</c:v>
                </c:pt>
                <c:pt idx="21">
                  <c:v>2023-01-12</c:v>
                </c:pt>
                <c:pt idx="22">
                  <c:v>2023-01-13</c:v>
                </c:pt>
                <c:pt idx="23">
                  <c:v>2023-01-17</c:v>
                </c:pt>
                <c:pt idx="24">
                  <c:v>2023-01-18</c:v>
                </c:pt>
                <c:pt idx="25">
                  <c:v>2023-01-19</c:v>
                </c:pt>
                <c:pt idx="26">
                  <c:v>2023-01-20</c:v>
                </c:pt>
                <c:pt idx="27">
                  <c:v>2023-01-23</c:v>
                </c:pt>
                <c:pt idx="28">
                  <c:v>2023-01-24</c:v>
                </c:pt>
                <c:pt idx="29">
                  <c:v>2023-01-25</c:v>
                </c:pt>
                <c:pt idx="30">
                  <c:v>2023-01-26</c:v>
                </c:pt>
                <c:pt idx="31">
                  <c:v>2023-01-27</c:v>
                </c:pt>
                <c:pt idx="32">
                  <c:v>2023-01-30</c:v>
                </c:pt>
                <c:pt idx="33">
                  <c:v>2023-01-31</c:v>
                </c:pt>
                <c:pt idx="34">
                  <c:v>2023-02-01</c:v>
                </c:pt>
                <c:pt idx="35">
                  <c:v>2023-02-02</c:v>
                </c:pt>
                <c:pt idx="36">
                  <c:v>2023-02-03</c:v>
                </c:pt>
                <c:pt idx="37">
                  <c:v>2023-02-06</c:v>
                </c:pt>
                <c:pt idx="38">
                  <c:v>2023-02-07</c:v>
                </c:pt>
                <c:pt idx="39">
                  <c:v>2023-02-08</c:v>
                </c:pt>
                <c:pt idx="40">
                  <c:v>2023-02-09</c:v>
                </c:pt>
                <c:pt idx="41">
                  <c:v>2023-02-10</c:v>
                </c:pt>
                <c:pt idx="42">
                  <c:v>2023-02-13</c:v>
                </c:pt>
                <c:pt idx="43">
                  <c:v>2023-02-14</c:v>
                </c:pt>
                <c:pt idx="44">
                  <c:v>2023-02-15</c:v>
                </c:pt>
                <c:pt idx="45">
                  <c:v>2023-02-16</c:v>
                </c:pt>
                <c:pt idx="46">
                  <c:v>2023-02-17</c:v>
                </c:pt>
                <c:pt idx="47">
                  <c:v>2023-02-21</c:v>
                </c:pt>
                <c:pt idx="48">
                  <c:v>2023-02-22</c:v>
                </c:pt>
                <c:pt idx="49">
                  <c:v>2023-02-23</c:v>
                </c:pt>
                <c:pt idx="50">
                  <c:v>2023-02-24</c:v>
                </c:pt>
                <c:pt idx="51">
                  <c:v>2023-02-27</c:v>
                </c:pt>
                <c:pt idx="52">
                  <c:v>2023-02-28</c:v>
                </c:pt>
                <c:pt idx="53">
                  <c:v>2023-03-01</c:v>
                </c:pt>
                <c:pt idx="54">
                  <c:v>2023-03-02</c:v>
                </c:pt>
                <c:pt idx="55">
                  <c:v>2023-03-03</c:v>
                </c:pt>
                <c:pt idx="56">
                  <c:v>2023-03-06</c:v>
                </c:pt>
                <c:pt idx="57">
                  <c:v>2023-03-07</c:v>
                </c:pt>
                <c:pt idx="58">
                  <c:v>2023-03-08</c:v>
                </c:pt>
                <c:pt idx="59">
                  <c:v>2023-03-09</c:v>
                </c:pt>
                <c:pt idx="60">
                  <c:v>2023-03-10</c:v>
                </c:pt>
                <c:pt idx="61">
                  <c:v>2023-03-13</c:v>
                </c:pt>
                <c:pt idx="62">
                  <c:v>2023-03-14</c:v>
                </c:pt>
                <c:pt idx="63">
                  <c:v>2023-03-15</c:v>
                </c:pt>
                <c:pt idx="64">
                  <c:v>2023-03-16</c:v>
                </c:pt>
                <c:pt idx="65">
                  <c:v>2023-03-17</c:v>
                </c:pt>
                <c:pt idx="66">
                  <c:v>2023-03-20</c:v>
                </c:pt>
                <c:pt idx="67">
                  <c:v>2023-03-21</c:v>
                </c:pt>
                <c:pt idx="68">
                  <c:v>2023-03-22</c:v>
                </c:pt>
                <c:pt idx="69">
                  <c:v>2023-03-23</c:v>
                </c:pt>
                <c:pt idx="70">
                  <c:v>2023-03-24</c:v>
                </c:pt>
                <c:pt idx="71">
                  <c:v>2023-03-27</c:v>
                </c:pt>
                <c:pt idx="72">
                  <c:v>2023-03-28</c:v>
                </c:pt>
                <c:pt idx="73">
                  <c:v>2023-03-29</c:v>
                </c:pt>
                <c:pt idx="74">
                  <c:v>2023-03-30</c:v>
                </c:pt>
                <c:pt idx="75">
                  <c:v>2023-03-31</c:v>
                </c:pt>
                <c:pt idx="76">
                  <c:v>2023-04-03</c:v>
                </c:pt>
                <c:pt idx="77">
                  <c:v>2023-04-04</c:v>
                </c:pt>
                <c:pt idx="78">
                  <c:v>2023-04-05</c:v>
                </c:pt>
                <c:pt idx="79">
                  <c:v>2023-04-06</c:v>
                </c:pt>
                <c:pt idx="80">
                  <c:v>2023-04-10</c:v>
                </c:pt>
              </c:strCache>
            </c:strRef>
          </c:xVal>
          <c:yVal>
            <c:numRef>
              <c:f>amCharts!$B$2:$B$82</c:f>
              <c:numCache>
                <c:formatCode>General</c:formatCode>
                <c:ptCount val="81"/>
                <c:pt idx="0">
                  <c:v>647.25</c:v>
                </c:pt>
                <c:pt idx="1">
                  <c:v>655.5</c:v>
                </c:pt>
                <c:pt idx="2">
                  <c:v>648.5</c:v>
                </c:pt>
                <c:pt idx="3">
                  <c:v>650</c:v>
                </c:pt>
                <c:pt idx="4">
                  <c:v>654.25</c:v>
                </c:pt>
                <c:pt idx="5">
                  <c:v>648</c:v>
                </c:pt>
                <c:pt idx="6">
                  <c:v>648.5</c:v>
                </c:pt>
                <c:pt idx="7">
                  <c:v>653.5</c:v>
                </c:pt>
                <c:pt idx="8">
                  <c:v>662.75</c:v>
                </c:pt>
                <c:pt idx="9">
                  <c:v>661.25</c:v>
                </c:pt>
                <c:pt idx="10">
                  <c:v>674.75</c:v>
                </c:pt>
                <c:pt idx="11">
                  <c:v>674.5</c:v>
                </c:pt>
                <c:pt idx="12">
                  <c:v>680.5</c:v>
                </c:pt>
                <c:pt idx="13">
                  <c:v>681.75</c:v>
                </c:pt>
                <c:pt idx="14">
                  <c:v>670.5</c:v>
                </c:pt>
                <c:pt idx="15">
                  <c:v>670.5</c:v>
                </c:pt>
                <c:pt idx="16">
                  <c:v>656.5</c:v>
                </c:pt>
                <c:pt idx="17">
                  <c:v>656.75</c:v>
                </c:pt>
                <c:pt idx="18">
                  <c:v>654.5</c:v>
                </c:pt>
                <c:pt idx="19">
                  <c:v>650</c:v>
                </c:pt>
                <c:pt idx="20">
                  <c:v>654.5</c:v>
                </c:pt>
                <c:pt idx="21">
                  <c:v>656.75</c:v>
                </c:pt>
                <c:pt idx="22">
                  <c:v>673.25</c:v>
                </c:pt>
                <c:pt idx="23">
                  <c:v>669.5</c:v>
                </c:pt>
                <c:pt idx="24">
                  <c:v>684.75</c:v>
                </c:pt>
                <c:pt idx="25">
                  <c:v>679.25</c:v>
                </c:pt>
                <c:pt idx="26">
                  <c:v>675</c:v>
                </c:pt>
                <c:pt idx="27">
                  <c:v>672.25</c:v>
                </c:pt>
                <c:pt idx="28">
                  <c:v>669.25</c:v>
                </c:pt>
                <c:pt idx="29">
                  <c:v>679.5</c:v>
                </c:pt>
                <c:pt idx="30">
                  <c:v>674</c:v>
                </c:pt>
                <c:pt idx="31">
                  <c:v>682.25</c:v>
                </c:pt>
                <c:pt idx="32">
                  <c:v>685.25</c:v>
                </c:pt>
                <c:pt idx="33">
                  <c:v>683</c:v>
                </c:pt>
                <c:pt idx="34">
                  <c:v>676</c:v>
                </c:pt>
                <c:pt idx="35">
                  <c:v>682.5</c:v>
                </c:pt>
                <c:pt idx="36">
                  <c:v>673.5</c:v>
                </c:pt>
                <c:pt idx="37">
                  <c:v>677.25</c:v>
                </c:pt>
                <c:pt idx="38">
                  <c:v>677.75</c:v>
                </c:pt>
                <c:pt idx="39">
                  <c:v>678.5</c:v>
                </c:pt>
                <c:pt idx="40">
                  <c:v>676.5</c:v>
                </c:pt>
                <c:pt idx="41">
                  <c:v>669.75</c:v>
                </c:pt>
                <c:pt idx="42">
                  <c:v>680</c:v>
                </c:pt>
                <c:pt idx="43">
                  <c:v>683.75</c:v>
                </c:pt>
                <c:pt idx="44">
                  <c:v>680.5</c:v>
                </c:pt>
                <c:pt idx="45">
                  <c:v>675.25</c:v>
                </c:pt>
                <c:pt idx="46">
                  <c:v>676</c:v>
                </c:pt>
                <c:pt idx="47">
                  <c:v>679.5</c:v>
                </c:pt>
                <c:pt idx="48">
                  <c:v>680.5</c:v>
                </c:pt>
                <c:pt idx="49">
                  <c:v>675.5</c:v>
                </c:pt>
                <c:pt idx="50">
                  <c:v>662.25</c:v>
                </c:pt>
                <c:pt idx="51">
                  <c:v>652.75</c:v>
                </c:pt>
                <c:pt idx="52">
                  <c:v>642</c:v>
                </c:pt>
                <c:pt idx="53">
                  <c:v>634</c:v>
                </c:pt>
                <c:pt idx="54">
                  <c:v>640</c:v>
                </c:pt>
                <c:pt idx="55">
                  <c:v>634.25</c:v>
                </c:pt>
                <c:pt idx="56">
                  <c:v>637.75</c:v>
                </c:pt>
                <c:pt idx="57">
                  <c:v>637.25</c:v>
                </c:pt>
                <c:pt idx="58">
                  <c:v>636.75</c:v>
                </c:pt>
                <c:pt idx="59">
                  <c:v>626.5</c:v>
                </c:pt>
                <c:pt idx="60">
                  <c:v>611.25</c:v>
                </c:pt>
                <c:pt idx="61">
                  <c:v>617.5</c:v>
                </c:pt>
                <c:pt idx="62">
                  <c:v>612.5</c:v>
                </c:pt>
                <c:pt idx="63">
                  <c:v>627.5</c:v>
                </c:pt>
                <c:pt idx="64">
                  <c:v>626.75</c:v>
                </c:pt>
                <c:pt idx="65">
                  <c:v>637.75</c:v>
                </c:pt>
                <c:pt idx="66">
                  <c:v>625.75</c:v>
                </c:pt>
                <c:pt idx="67">
                  <c:v>631.25</c:v>
                </c:pt>
                <c:pt idx="68">
                  <c:v>630.5</c:v>
                </c:pt>
                <c:pt idx="69">
                  <c:v>636.25</c:v>
                </c:pt>
                <c:pt idx="70">
                  <c:v>634</c:v>
                </c:pt>
                <c:pt idx="71">
                  <c:v>639</c:v>
                </c:pt>
                <c:pt idx="72">
                  <c:v>646.75</c:v>
                </c:pt>
                <c:pt idx="73">
                  <c:v>645.75</c:v>
                </c:pt>
                <c:pt idx="74">
                  <c:v>651</c:v>
                </c:pt>
                <c:pt idx="75">
                  <c:v>648.25</c:v>
                </c:pt>
                <c:pt idx="76">
                  <c:v>665.75</c:v>
                </c:pt>
                <c:pt idx="77">
                  <c:v>655.75</c:v>
                </c:pt>
                <c:pt idx="78">
                  <c:v>653.75</c:v>
                </c:pt>
                <c:pt idx="79">
                  <c:v>648</c:v>
                </c:pt>
                <c:pt idx="80">
                  <c:v>618.75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3-4C13-B26E-027E9ED6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319279"/>
        <c:axId val="217321199"/>
      </c:scatterChart>
      <c:valAx>
        <c:axId val="21731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Tanggal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21199"/>
        <c:crosses val="autoZero"/>
        <c:crossBetween val="midCat"/>
      </c:valAx>
      <c:valAx>
        <c:axId val="2173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Harga Jagung (USD Cent/Gantang)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31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15</xdr:row>
      <xdr:rowOff>34925</xdr:rowOff>
    </xdr:from>
    <xdr:to>
      <xdr:col>9</xdr:col>
      <xdr:colOff>501650</xdr:colOff>
      <xdr:row>29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00DFC-4C57-6A7E-7FD7-94FE31C4E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D11" sqref="D11:E13"/>
    </sheetView>
  </sheetViews>
  <sheetFormatPr defaultRowHeight="15.5" x14ac:dyDescent="0.35"/>
  <cols>
    <col min="1" max="1" width="9.9140625" bestFit="1" customWidth="1"/>
    <col min="2" max="2" width="29" bestFit="1" customWidth="1"/>
    <col min="10" max="10" width="9.6640625" bestFit="1" customWidth="1"/>
  </cols>
  <sheetData>
    <row r="1" spans="1:10" x14ac:dyDescent="0.35">
      <c r="A1" s="1" t="s">
        <v>81</v>
      </c>
      <c r="B1" s="1" t="s">
        <v>82</v>
      </c>
      <c r="G1" s="3" t="s">
        <v>89</v>
      </c>
      <c r="H1" s="3"/>
      <c r="I1" s="3" t="s">
        <v>92</v>
      </c>
      <c r="J1" s="3" t="s">
        <v>93</v>
      </c>
    </row>
    <row r="2" spans="1:10" x14ac:dyDescent="0.35">
      <c r="A2" s="2" t="s">
        <v>0</v>
      </c>
      <c r="B2" s="1">
        <v>647.25</v>
      </c>
      <c r="D2" s="1" t="s">
        <v>83</v>
      </c>
      <c r="E2" s="1">
        <f>COUNTA(B2:B82)</f>
        <v>81</v>
      </c>
      <c r="G2" s="1" t="s">
        <v>90</v>
      </c>
      <c r="H2" s="1" t="s">
        <v>91</v>
      </c>
      <c r="I2" s="3"/>
      <c r="J2" s="3"/>
    </row>
    <row r="3" spans="1:10" x14ac:dyDescent="0.35">
      <c r="A3" s="2" t="s">
        <v>1</v>
      </c>
      <c r="B3" s="1">
        <v>655.5</v>
      </c>
      <c r="D3" s="1" t="s">
        <v>84</v>
      </c>
      <c r="E3" s="1">
        <f>MAX(B2:B82)</f>
        <v>685.25</v>
      </c>
      <c r="G3" s="1">
        <f>E4</f>
        <v>611.25</v>
      </c>
      <c r="H3" s="1">
        <f>G3+10</f>
        <v>621.25</v>
      </c>
      <c r="I3" s="1">
        <f t="array" ref="I3:I9">FREQUENCY(B2:B82,H3:H9)</f>
        <v>4</v>
      </c>
      <c r="J3" s="4">
        <f>I3/$E$2</f>
        <v>4.9382716049382713E-2</v>
      </c>
    </row>
    <row r="4" spans="1:10" x14ac:dyDescent="0.35">
      <c r="A4" s="2" t="s">
        <v>2</v>
      </c>
      <c r="B4" s="1">
        <v>648.5</v>
      </c>
      <c r="D4" s="1" t="s">
        <v>85</v>
      </c>
      <c r="E4" s="1">
        <f>MIN(B2:B82)</f>
        <v>611.25</v>
      </c>
      <c r="G4" s="1">
        <f>G3+11</f>
        <v>622.25</v>
      </c>
      <c r="H4" s="1">
        <f>G4+10</f>
        <v>632.25</v>
      </c>
      <c r="I4" s="1">
        <v>6</v>
      </c>
      <c r="J4" s="4">
        <f t="shared" ref="J4:J9" si="0">I4/$E$2</f>
        <v>7.407407407407407E-2</v>
      </c>
    </row>
    <row r="5" spans="1:10" x14ac:dyDescent="0.35">
      <c r="A5" s="2" t="s">
        <v>3</v>
      </c>
      <c r="B5" s="1">
        <v>650</v>
      </c>
      <c r="D5" s="1" t="s">
        <v>86</v>
      </c>
      <c r="E5" s="1">
        <f>E3-E4</f>
        <v>74</v>
      </c>
      <c r="G5" s="1">
        <f t="shared" ref="G5:G9" si="1">G4+11</f>
        <v>633.25</v>
      </c>
      <c r="H5" s="1">
        <f t="shared" ref="H5:H9" si="2">G5+10</f>
        <v>643.25</v>
      </c>
      <c r="I5" s="1">
        <v>11</v>
      </c>
      <c r="J5" s="4">
        <f t="shared" si="0"/>
        <v>0.13580246913580246</v>
      </c>
    </row>
    <row r="6" spans="1:10" x14ac:dyDescent="0.35">
      <c r="A6" s="2" t="s">
        <v>4</v>
      </c>
      <c r="B6" s="1">
        <v>654.25</v>
      </c>
      <c r="D6" s="1" t="s">
        <v>87</v>
      </c>
      <c r="E6" s="1">
        <f>1+(3.322*LOG(E2))</f>
        <v>7.3399872327148747</v>
      </c>
      <c r="G6" s="1">
        <f t="shared" si="1"/>
        <v>644.25</v>
      </c>
      <c r="H6" s="1">
        <f t="shared" si="2"/>
        <v>654.25</v>
      </c>
      <c r="I6" s="1">
        <v>15</v>
      </c>
      <c r="J6" s="4">
        <f t="shared" si="0"/>
        <v>0.18518518518518517</v>
      </c>
    </row>
    <row r="7" spans="1:10" x14ac:dyDescent="0.35">
      <c r="A7" s="2" t="s">
        <v>5</v>
      </c>
      <c r="B7" s="1">
        <v>648</v>
      </c>
      <c r="D7" s="1" t="s">
        <v>88</v>
      </c>
      <c r="E7" s="1">
        <f>E5/E6</f>
        <v>10.081761405548015</v>
      </c>
      <c r="G7" s="1">
        <f t="shared" si="1"/>
        <v>655.25</v>
      </c>
      <c r="H7" s="1">
        <f t="shared" si="2"/>
        <v>665.25</v>
      </c>
      <c r="I7" s="1">
        <v>10</v>
      </c>
      <c r="J7" s="4">
        <f t="shared" si="0"/>
        <v>0.12345679012345678</v>
      </c>
    </row>
    <row r="8" spans="1:10" x14ac:dyDescent="0.35">
      <c r="A8" s="2" t="s">
        <v>6</v>
      </c>
      <c r="B8" s="1">
        <v>648.5</v>
      </c>
      <c r="G8" s="1">
        <f t="shared" si="1"/>
        <v>666.25</v>
      </c>
      <c r="H8" s="1">
        <f t="shared" si="2"/>
        <v>676.25</v>
      </c>
      <c r="I8" s="1">
        <v>17</v>
      </c>
      <c r="J8" s="4">
        <f t="shared" si="0"/>
        <v>0.20987654320987653</v>
      </c>
    </row>
    <row r="9" spans="1:10" x14ac:dyDescent="0.35">
      <c r="A9" s="2" t="s">
        <v>7</v>
      </c>
      <c r="B9" s="1">
        <v>653.5</v>
      </c>
      <c r="G9" s="1">
        <f t="shared" si="1"/>
        <v>677.25</v>
      </c>
      <c r="H9" s="1">
        <f>E3</f>
        <v>685.25</v>
      </c>
      <c r="I9" s="1">
        <v>18</v>
      </c>
      <c r="J9" s="4">
        <f t="shared" si="0"/>
        <v>0.22222222222222221</v>
      </c>
    </row>
    <row r="10" spans="1:10" x14ac:dyDescent="0.35">
      <c r="A10" s="2" t="s">
        <v>8</v>
      </c>
      <c r="B10" s="1">
        <v>662.75</v>
      </c>
      <c r="G10" s="3" t="s">
        <v>94</v>
      </c>
      <c r="H10" s="3"/>
      <c r="I10" s="1">
        <f>SUM(I3:I9)</f>
        <v>81</v>
      </c>
      <c r="J10" s="4">
        <f>SUM(J3:J9)</f>
        <v>0.99999999999999989</v>
      </c>
    </row>
    <row r="11" spans="1:10" x14ac:dyDescent="0.35">
      <c r="A11" s="2" t="s">
        <v>9</v>
      </c>
      <c r="B11" s="1">
        <v>661.25</v>
      </c>
      <c r="D11" s="1" t="s">
        <v>95</v>
      </c>
      <c r="E11" s="1">
        <f>AVERAGE(B2:B82)</f>
        <v>657.3858024691358</v>
      </c>
    </row>
    <row r="12" spans="1:10" x14ac:dyDescent="0.35">
      <c r="A12" s="2" t="s">
        <v>10</v>
      </c>
      <c r="B12" s="1">
        <v>674.75</v>
      </c>
      <c r="D12" s="1" t="s">
        <v>96</v>
      </c>
      <c r="E12" s="1">
        <f>MODE(B2:B82)</f>
        <v>680.5</v>
      </c>
    </row>
    <row r="13" spans="1:10" x14ac:dyDescent="0.35">
      <c r="A13" s="2" t="s">
        <v>11</v>
      </c>
      <c r="B13" s="1">
        <v>674.5</v>
      </c>
      <c r="D13" s="1" t="s">
        <v>97</v>
      </c>
      <c r="E13" s="1">
        <f>MEDIAN(B2:B82)</f>
        <v>656.5</v>
      </c>
    </row>
    <row r="14" spans="1:10" x14ac:dyDescent="0.35">
      <c r="A14" s="2" t="s">
        <v>12</v>
      </c>
      <c r="B14" s="1">
        <v>680.5</v>
      </c>
    </row>
    <row r="15" spans="1:10" x14ac:dyDescent="0.35">
      <c r="A15" s="2" t="s">
        <v>13</v>
      </c>
      <c r="B15" s="1">
        <v>681.75</v>
      </c>
    </row>
    <row r="16" spans="1:10" x14ac:dyDescent="0.35">
      <c r="A16" s="2" t="s">
        <v>14</v>
      </c>
      <c r="B16" s="1">
        <v>670.5</v>
      </c>
    </row>
    <row r="17" spans="1:2" x14ac:dyDescent="0.35">
      <c r="A17" s="2" t="s">
        <v>15</v>
      </c>
      <c r="B17" s="1">
        <v>670.5</v>
      </c>
    </row>
    <row r="18" spans="1:2" x14ac:dyDescent="0.35">
      <c r="A18" s="2" t="s">
        <v>16</v>
      </c>
      <c r="B18" s="1">
        <v>656.5</v>
      </c>
    </row>
    <row r="19" spans="1:2" x14ac:dyDescent="0.35">
      <c r="A19" s="2" t="s">
        <v>17</v>
      </c>
      <c r="B19" s="1">
        <v>656.75</v>
      </c>
    </row>
    <row r="20" spans="1:2" x14ac:dyDescent="0.35">
      <c r="A20" s="2" t="s">
        <v>18</v>
      </c>
      <c r="B20" s="1">
        <v>654.5</v>
      </c>
    </row>
    <row r="21" spans="1:2" x14ac:dyDescent="0.35">
      <c r="A21" s="2" t="s">
        <v>19</v>
      </c>
      <c r="B21" s="1">
        <v>650</v>
      </c>
    </row>
    <row r="22" spans="1:2" x14ac:dyDescent="0.35">
      <c r="A22" s="2" t="s">
        <v>20</v>
      </c>
      <c r="B22" s="1">
        <v>654.5</v>
      </c>
    </row>
    <row r="23" spans="1:2" x14ac:dyDescent="0.35">
      <c r="A23" s="2" t="s">
        <v>21</v>
      </c>
      <c r="B23" s="1">
        <v>656.75</v>
      </c>
    </row>
    <row r="24" spans="1:2" x14ac:dyDescent="0.35">
      <c r="A24" s="2" t="s">
        <v>22</v>
      </c>
      <c r="B24" s="1">
        <v>673.25</v>
      </c>
    </row>
    <row r="25" spans="1:2" x14ac:dyDescent="0.35">
      <c r="A25" s="2" t="s">
        <v>23</v>
      </c>
      <c r="B25" s="1">
        <v>669.5</v>
      </c>
    </row>
    <row r="26" spans="1:2" x14ac:dyDescent="0.35">
      <c r="A26" s="2" t="s">
        <v>24</v>
      </c>
      <c r="B26" s="1">
        <v>684.75</v>
      </c>
    </row>
    <row r="27" spans="1:2" x14ac:dyDescent="0.35">
      <c r="A27" s="2" t="s">
        <v>25</v>
      </c>
      <c r="B27" s="1">
        <v>679.25</v>
      </c>
    </row>
    <row r="28" spans="1:2" x14ac:dyDescent="0.35">
      <c r="A28" s="2" t="s">
        <v>26</v>
      </c>
      <c r="B28" s="1">
        <v>675</v>
      </c>
    </row>
    <row r="29" spans="1:2" x14ac:dyDescent="0.35">
      <c r="A29" s="2" t="s">
        <v>27</v>
      </c>
      <c r="B29" s="1">
        <v>672.25</v>
      </c>
    </row>
    <row r="30" spans="1:2" x14ac:dyDescent="0.35">
      <c r="A30" s="2" t="s">
        <v>28</v>
      </c>
      <c r="B30" s="1">
        <v>669.25</v>
      </c>
    </row>
    <row r="31" spans="1:2" x14ac:dyDescent="0.35">
      <c r="A31" s="2" t="s">
        <v>29</v>
      </c>
      <c r="B31" s="1">
        <v>679.5</v>
      </c>
    </row>
    <row r="32" spans="1:2" x14ac:dyDescent="0.35">
      <c r="A32" s="2" t="s">
        <v>30</v>
      </c>
      <c r="B32" s="1">
        <v>674</v>
      </c>
    </row>
    <row r="33" spans="1:2" x14ac:dyDescent="0.35">
      <c r="A33" s="2" t="s">
        <v>31</v>
      </c>
      <c r="B33" s="1">
        <v>682.25</v>
      </c>
    </row>
    <row r="34" spans="1:2" x14ac:dyDescent="0.35">
      <c r="A34" s="2" t="s">
        <v>32</v>
      </c>
      <c r="B34" s="1">
        <v>685.25</v>
      </c>
    </row>
    <row r="35" spans="1:2" x14ac:dyDescent="0.35">
      <c r="A35" s="2" t="s">
        <v>33</v>
      </c>
      <c r="B35" s="1">
        <v>683</v>
      </c>
    </row>
    <row r="36" spans="1:2" x14ac:dyDescent="0.35">
      <c r="A36" s="2" t="s">
        <v>34</v>
      </c>
      <c r="B36" s="1">
        <v>676</v>
      </c>
    </row>
    <row r="37" spans="1:2" x14ac:dyDescent="0.35">
      <c r="A37" s="2" t="s">
        <v>35</v>
      </c>
      <c r="B37" s="1">
        <v>682.5</v>
      </c>
    </row>
    <row r="38" spans="1:2" x14ac:dyDescent="0.35">
      <c r="A38" s="2" t="s">
        <v>36</v>
      </c>
      <c r="B38" s="1">
        <v>673.5</v>
      </c>
    </row>
    <row r="39" spans="1:2" x14ac:dyDescent="0.35">
      <c r="A39" s="2" t="s">
        <v>37</v>
      </c>
      <c r="B39" s="1">
        <v>677.25</v>
      </c>
    </row>
    <row r="40" spans="1:2" x14ac:dyDescent="0.35">
      <c r="A40" s="2" t="s">
        <v>38</v>
      </c>
      <c r="B40" s="1">
        <v>677.75</v>
      </c>
    </row>
    <row r="41" spans="1:2" x14ac:dyDescent="0.35">
      <c r="A41" s="2" t="s">
        <v>39</v>
      </c>
      <c r="B41" s="1">
        <v>678.5</v>
      </c>
    </row>
    <row r="42" spans="1:2" x14ac:dyDescent="0.35">
      <c r="A42" s="2" t="s">
        <v>40</v>
      </c>
      <c r="B42" s="1">
        <v>676.5</v>
      </c>
    </row>
    <row r="43" spans="1:2" x14ac:dyDescent="0.35">
      <c r="A43" s="2" t="s">
        <v>41</v>
      </c>
      <c r="B43" s="1">
        <v>669.75</v>
      </c>
    </row>
    <row r="44" spans="1:2" x14ac:dyDescent="0.35">
      <c r="A44" s="2" t="s">
        <v>42</v>
      </c>
      <c r="B44" s="1">
        <v>680</v>
      </c>
    </row>
    <row r="45" spans="1:2" x14ac:dyDescent="0.35">
      <c r="A45" s="2" t="s">
        <v>43</v>
      </c>
      <c r="B45" s="1">
        <v>683.75</v>
      </c>
    </row>
    <row r="46" spans="1:2" x14ac:dyDescent="0.35">
      <c r="A46" s="2" t="s">
        <v>44</v>
      </c>
      <c r="B46" s="1">
        <v>680.5</v>
      </c>
    </row>
    <row r="47" spans="1:2" x14ac:dyDescent="0.35">
      <c r="A47" s="2" t="s">
        <v>45</v>
      </c>
      <c r="B47" s="1">
        <v>675.25</v>
      </c>
    </row>
    <row r="48" spans="1:2" x14ac:dyDescent="0.35">
      <c r="A48" s="2" t="s">
        <v>46</v>
      </c>
      <c r="B48" s="1">
        <v>676</v>
      </c>
    </row>
    <row r="49" spans="1:2" x14ac:dyDescent="0.35">
      <c r="A49" s="2" t="s">
        <v>47</v>
      </c>
      <c r="B49" s="1">
        <v>679.5</v>
      </c>
    </row>
    <row r="50" spans="1:2" x14ac:dyDescent="0.35">
      <c r="A50" s="2" t="s">
        <v>48</v>
      </c>
      <c r="B50" s="1">
        <v>680.5</v>
      </c>
    </row>
    <row r="51" spans="1:2" x14ac:dyDescent="0.35">
      <c r="A51" s="2" t="s">
        <v>49</v>
      </c>
      <c r="B51" s="1">
        <v>675.5</v>
      </c>
    </row>
    <row r="52" spans="1:2" x14ac:dyDescent="0.35">
      <c r="A52" s="2" t="s">
        <v>50</v>
      </c>
      <c r="B52" s="1">
        <v>662.25</v>
      </c>
    </row>
    <row r="53" spans="1:2" x14ac:dyDescent="0.35">
      <c r="A53" s="2" t="s">
        <v>51</v>
      </c>
      <c r="B53" s="1">
        <v>652.75</v>
      </c>
    </row>
    <row r="54" spans="1:2" x14ac:dyDescent="0.35">
      <c r="A54" s="2" t="s">
        <v>52</v>
      </c>
      <c r="B54" s="1">
        <v>642</v>
      </c>
    </row>
    <row r="55" spans="1:2" x14ac:dyDescent="0.35">
      <c r="A55" s="2" t="s">
        <v>53</v>
      </c>
      <c r="B55" s="1">
        <v>634</v>
      </c>
    </row>
    <row r="56" spans="1:2" x14ac:dyDescent="0.35">
      <c r="A56" s="2" t="s">
        <v>54</v>
      </c>
      <c r="B56" s="1">
        <v>640</v>
      </c>
    </row>
    <row r="57" spans="1:2" x14ac:dyDescent="0.35">
      <c r="A57" s="2" t="s">
        <v>55</v>
      </c>
      <c r="B57" s="1">
        <v>634.25</v>
      </c>
    </row>
    <row r="58" spans="1:2" x14ac:dyDescent="0.35">
      <c r="A58" s="2" t="s">
        <v>56</v>
      </c>
      <c r="B58" s="1">
        <v>637.75</v>
      </c>
    </row>
    <row r="59" spans="1:2" x14ac:dyDescent="0.35">
      <c r="A59" s="2" t="s">
        <v>57</v>
      </c>
      <c r="B59" s="1">
        <v>637.25</v>
      </c>
    </row>
    <row r="60" spans="1:2" x14ac:dyDescent="0.35">
      <c r="A60" s="2" t="s">
        <v>58</v>
      </c>
      <c r="B60" s="1">
        <v>636.75</v>
      </c>
    </row>
    <row r="61" spans="1:2" x14ac:dyDescent="0.35">
      <c r="A61" s="2" t="s">
        <v>59</v>
      </c>
      <c r="B61" s="1">
        <v>626.5</v>
      </c>
    </row>
    <row r="62" spans="1:2" x14ac:dyDescent="0.35">
      <c r="A62" s="2" t="s">
        <v>60</v>
      </c>
      <c r="B62" s="1">
        <v>611.25</v>
      </c>
    </row>
    <row r="63" spans="1:2" x14ac:dyDescent="0.35">
      <c r="A63" s="2" t="s">
        <v>61</v>
      </c>
      <c r="B63" s="1">
        <v>617.5</v>
      </c>
    </row>
    <row r="64" spans="1:2" x14ac:dyDescent="0.35">
      <c r="A64" s="2" t="s">
        <v>62</v>
      </c>
      <c r="B64" s="1">
        <v>612.5</v>
      </c>
    </row>
    <row r="65" spans="1:2" x14ac:dyDescent="0.35">
      <c r="A65" s="2" t="s">
        <v>63</v>
      </c>
      <c r="B65" s="1">
        <v>627.5</v>
      </c>
    </row>
    <row r="66" spans="1:2" x14ac:dyDescent="0.35">
      <c r="A66" s="2" t="s">
        <v>64</v>
      </c>
      <c r="B66" s="1">
        <v>626.75</v>
      </c>
    </row>
    <row r="67" spans="1:2" x14ac:dyDescent="0.35">
      <c r="A67" s="2" t="s">
        <v>65</v>
      </c>
      <c r="B67" s="1">
        <v>637.75</v>
      </c>
    </row>
    <row r="68" spans="1:2" x14ac:dyDescent="0.35">
      <c r="A68" s="2" t="s">
        <v>66</v>
      </c>
      <c r="B68" s="1">
        <v>625.75</v>
      </c>
    </row>
    <row r="69" spans="1:2" x14ac:dyDescent="0.35">
      <c r="A69" s="2" t="s">
        <v>67</v>
      </c>
      <c r="B69" s="1">
        <v>631.25</v>
      </c>
    </row>
    <row r="70" spans="1:2" x14ac:dyDescent="0.35">
      <c r="A70" s="2" t="s">
        <v>68</v>
      </c>
      <c r="B70" s="1">
        <v>630.5</v>
      </c>
    </row>
    <row r="71" spans="1:2" x14ac:dyDescent="0.35">
      <c r="A71" s="2" t="s">
        <v>69</v>
      </c>
      <c r="B71" s="1">
        <v>636.25</v>
      </c>
    </row>
    <row r="72" spans="1:2" x14ac:dyDescent="0.35">
      <c r="A72" s="2" t="s">
        <v>70</v>
      </c>
      <c r="B72" s="1">
        <v>634</v>
      </c>
    </row>
    <row r="73" spans="1:2" x14ac:dyDescent="0.35">
      <c r="A73" s="2" t="s">
        <v>71</v>
      </c>
      <c r="B73" s="1">
        <v>639</v>
      </c>
    </row>
    <row r="74" spans="1:2" x14ac:dyDescent="0.35">
      <c r="A74" s="2" t="s">
        <v>72</v>
      </c>
      <c r="B74" s="1">
        <v>646.75</v>
      </c>
    </row>
    <row r="75" spans="1:2" x14ac:dyDescent="0.35">
      <c r="A75" s="2" t="s">
        <v>73</v>
      </c>
      <c r="B75" s="1">
        <v>645.75</v>
      </c>
    </row>
    <row r="76" spans="1:2" x14ac:dyDescent="0.35">
      <c r="A76" s="2" t="s">
        <v>74</v>
      </c>
      <c r="B76" s="1">
        <v>651</v>
      </c>
    </row>
    <row r="77" spans="1:2" x14ac:dyDescent="0.35">
      <c r="A77" s="2" t="s">
        <v>75</v>
      </c>
      <c r="B77" s="1">
        <v>648.25</v>
      </c>
    </row>
    <row r="78" spans="1:2" x14ac:dyDescent="0.35">
      <c r="A78" s="2" t="s">
        <v>76</v>
      </c>
      <c r="B78" s="1">
        <v>665.75</v>
      </c>
    </row>
    <row r="79" spans="1:2" x14ac:dyDescent="0.35">
      <c r="A79" s="2" t="s">
        <v>77</v>
      </c>
      <c r="B79" s="1">
        <v>655.75</v>
      </c>
    </row>
    <row r="80" spans="1:2" x14ac:dyDescent="0.35">
      <c r="A80" s="2" t="s">
        <v>78</v>
      </c>
      <c r="B80" s="1">
        <v>653.75</v>
      </c>
    </row>
    <row r="81" spans="1:2" x14ac:dyDescent="0.35">
      <c r="A81" s="2" t="s">
        <v>79</v>
      </c>
      <c r="B81" s="1">
        <v>648</v>
      </c>
    </row>
    <row r="82" spans="1:2" x14ac:dyDescent="0.35">
      <c r="A82" s="2" t="s">
        <v>80</v>
      </c>
      <c r="B82" s="1">
        <v>618.75</v>
      </c>
    </row>
  </sheetData>
  <mergeCells count="4">
    <mergeCell ref="G1:H1"/>
    <mergeCell ref="I1:I2"/>
    <mergeCell ref="J1:J2"/>
    <mergeCell ref="G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2023-04-11T00:48:15Z</dcterms:modified>
</cp:coreProperties>
</file>